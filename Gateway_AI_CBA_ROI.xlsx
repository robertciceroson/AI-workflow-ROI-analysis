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BA &amp; ROI Dashboar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<sst xmlns="http://schemas.openxmlformats.org/spreadsheetml/2006/main" count="68" uniqueCount="66">
  <si>
    <t xml:space="preserve">AI Workflow Implementation — Cost-Benefit Analysis &amp; ROI Report</t>
  </si>
  <si>
    <t xml:space="preserve">Gateway AI Advisory  ·  Client: Acme Operations Group  ·  Engagement: AI Email Triage &amp; Workflow Automation  ·  Prepared: Jun 2026</t>
  </si>
  <si>
    <t xml:space="preserve">SECTION 1 — KEY ASSUMPTIONS (Inputs shown in blue)</t>
  </si>
  <si>
    <t xml:space="preserve">Parameter</t>
  </si>
  <si>
    <t xml:space="preserve">Value</t>
  </si>
  <si>
    <t xml:space="preserve">Unit / Notes</t>
  </si>
  <si>
    <t xml:space="preserve">Staff handling email triage (FTEs)</t>
  </si>
  <si>
    <t xml:space="preserve">Full-time employees</t>
  </si>
  <si>
    <t xml:space="preserve">Avg. hourly fully-loaded cost (per FTE)</t>
  </si>
  <si>
    <t xml:space="preserve">USD/hr (salary + benefits)</t>
  </si>
  <si>
    <t xml:space="preserve">Hours/week spent on manual email triage (per FTE)</t>
  </si>
  <si>
    <t xml:space="preserve">hrs/wk — pre-automation baseline</t>
  </si>
  <si>
    <t xml:space="preserve">Weeks per year (working)</t>
  </si>
  <si>
    <t xml:space="preserve">wks/yr</t>
  </si>
  <si>
    <t xml:space="preserve">AI automation efficiency gain</t>
  </si>
  <si>
    <t xml:space="preserve">85%</t>
  </si>
  <si>
    <t xml:space="preserve">% of manual triage automated</t>
  </si>
  <si>
    <t xml:space="preserve">One-time implementation cost</t>
  </si>
  <si>
    <t xml:space="preserve">USD — setup, config, testing</t>
  </si>
  <si>
    <t xml:space="preserve">Monthly platform cost (Make.com + LLM API)</t>
  </si>
  <si>
    <t xml:space="preserve">USD/month</t>
  </si>
  <si>
    <t xml:space="preserve">Training &amp; change management (one-time)</t>
  </si>
  <si>
    <t xml:space="preserve">USD</t>
  </si>
  <si>
    <t xml:space="preserve">SECTION 2 — COST ANALYSIS</t>
  </si>
  <si>
    <t xml:space="preserve">Cost Item</t>
  </si>
  <si>
    <t xml:space="preserve">Pre-AI (Annual)</t>
  </si>
  <si>
    <t xml:space="preserve">Post-AI (Annual)</t>
  </si>
  <si>
    <t xml:space="preserve">Annual Savings</t>
  </si>
  <si>
    <t xml:space="preserve">% Reduction</t>
  </si>
  <si>
    <t xml:space="preserve">Manual Email Triage Labor</t>
  </si>
  <si>
    <t xml:space="preserve">Platform / Tool Costs</t>
  </si>
  <si>
    <t xml:space="preserve">Training &amp; Change Mgmt (amortized 3yr)</t>
  </si>
  <si>
    <t xml:space="preserve">Total Costs</t>
  </si>
  <si>
    <t xml:space="preserve">SECTION 3 — BENEFIT ANALYSIS</t>
  </si>
  <si>
    <t xml:space="preserve">Benefit Category</t>
  </si>
  <si>
    <t xml:space="preserve">Pre-AI Baseline</t>
  </si>
  <si>
    <t xml:space="preserve">Post-AI Outcome</t>
  </si>
  <si>
    <t xml:space="preserve">Annual Value ($)</t>
  </si>
  <si>
    <t xml:space="preserve">Confidence</t>
  </si>
  <si>
    <t xml:space="preserve">Labor Hours Recovered (triage)</t>
  </si>
  <si>
    <t xml:space="preserve">28 hrs/wk (4 FTEs × 7 hrs)</t>
  </si>
  <si>
    <t xml:space="preserve">High</t>
  </si>
  <si>
    <t xml:space="preserve">Faster Response Time</t>
  </si>
  <si>
    <t xml:space="preserve">4–6 hrs avg. response</t>
  </si>
  <si>
    <t xml:space="preserve">&lt; 5 min AI triage routing</t>
  </si>
  <si>
    <t xml:space="preserve">Routing Error Reduction</t>
  </si>
  <si>
    <t xml:space="preserve">~15% misrouted emails</t>
  </si>
  <si>
    <t xml:space="preserve">&lt; 2% misroute rate</t>
  </si>
  <si>
    <t xml:space="preserve">Medium</t>
  </si>
  <si>
    <t xml:space="preserve">Staff Redeployment Value</t>
  </si>
  <si>
    <t xml:space="preserve">4 FTEs on triage</t>
  </si>
  <si>
    <t xml:space="preserve">FTEs redirected to high-value work</t>
  </si>
  <si>
    <t xml:space="preserve">Total Quantified Benefits</t>
  </si>
  <si>
    <t xml:space="preserve">SECTION 4 — ROI SUMMARY</t>
  </si>
  <si>
    <t xml:space="preserve">Total One-Time Implementation Cost</t>
  </si>
  <si>
    <t xml:space="preserve">Total Annual Operating Cost (Post-AI)</t>
  </si>
  <si>
    <t xml:space="preserve">Total Annual Benefits (Quantified)</t>
  </si>
  <si>
    <t xml:space="preserve">Net Annual Benefit (Benefits − Operating Cost)</t>
  </si>
  <si>
    <t xml:space="preserve">Payback Period</t>
  </si>
  <si>
    <t xml:space="preserve">3-Year Net ROI</t>
  </si>
  <si>
    <t xml:space="preserve">3-Year Total Value Created</t>
  </si>
  <si>
    <t xml:space="preserve">SECTION 5 — METHODOLOGY NOTES &amp; DISCLAIMER</t>
  </si>
  <si>
    <t xml:space="preserve">• Labor savings calculated using fully-loaded hourly rate (salary + benefits overhead). Automation efficiency of 85% applied conservatively — actual results may vary by volume and complexity.</t>
  </si>
  <si>
    <t xml:space="preserve">• Benefit values for error reduction and staff redeployment are estimates based on industry benchmarks and client-reported baseline metrics. Actual realized value depends on adoption rate and workflow complexity.</t>
  </si>
  <si>
    <t xml:space="preserve">• This model uses synthetic data for illustration purposes. All assumptions (blue cells) are adjustable — update Section 1 inputs to reflect actual client parameters.</t>
  </si>
  <si>
    <t xml:space="preserve">• Prepared by Gateway AI Advisory as part of standard post-implementation ROI reporting deliverable. Model version: v1.0 | Prepared: June 2026.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</si>
</sst>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0.0%"/>
    <numFmt numFmtId="167" formatCode="0.0&quot; months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1E6B2E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E6B2E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1E6B2E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C55A11"/>
      <name val="Arial"/>
      <family val="0"/>
      <charset val="1"/>
    </font>
    <font>
      <b val="true"/>
      <sz val="12"/>
      <color rgb="FF1E6B2E"/>
      <name val="Arial"/>
      <family val="0"/>
      <charset val="1"/>
    </font>
    <font>
      <b val="true"/>
      <sz val="12"/>
      <color rgb="FF1F4E7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EF4FF"/>
        <bgColor rgb="FFEBF3FB"/>
      </patternFill>
    </fill>
    <fill>
      <patternFill patternType="solid">
        <fgColor rgb="FFFFFFFF"/>
        <bgColor rgb="FFEEF4FF"/>
      </patternFill>
    </fill>
    <fill>
      <patternFill patternType="solid">
        <fgColor rgb="FFEBF3FB"/>
        <bgColor rgb="FFEEF4FF"/>
      </patternFill>
    </fill>
    <fill>
      <patternFill patternType="solid">
        <fgColor rgb="FFD9E8F5"/>
        <bgColor rgb="FFE2EFDA"/>
      </patternFill>
    </fill>
    <fill>
      <patternFill patternType="solid">
        <fgColor rgb="FFE2EFDA"/>
        <bgColor rgb="FFD9E8F5"/>
      </patternFill>
    </fill>
    <fill>
      <patternFill patternType="solid">
        <fgColor rgb="FFFCE4D6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2E75B6"/>
      </left>
      <right/>
      <top style="medium">
        <color rgb="FF2E75B6"/>
      </top>
      <bottom style="medium">
        <color rgb="FF2E75B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E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8F5"/>
      <rgbColor rgb="FF660066"/>
      <rgbColor rgb="FFFF8080"/>
      <rgbColor rgb="FF0066CC"/>
      <rgbColor rgb="FFEEF4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6" min="2" style="1" width="18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19.5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21.75" hidden="false" customHeight="true" outlineLevel="0" collapsed="false">
      <c r="A5" s="5" t="s">
        <v>3</v>
      </c>
      <c r="B5" s="5" t="s">
        <v>4</v>
      </c>
      <c r="C5" s="5" t="s">
        <v>5</v>
      </c>
      <c r="D5" s="5"/>
      <c r="E5" s="5"/>
      <c r="F5" s="5"/>
    </row>
    <row r="6" customFormat="false" ht="21.75" hidden="false" customHeight="true" outlineLevel="0" collapsed="false">
      <c r="A6" s="6" t="s">
        <v>6</v>
      </c>
      <c r="B6" s="7" t="n">
        <v>4</v>
      </c>
      <c r="C6" s="8" t="s">
        <v>7</v>
      </c>
      <c r="D6" s="8"/>
      <c r="E6" s="8"/>
      <c r="F6" s="8"/>
    </row>
    <row r="7" customFormat="false" ht="21.75" hidden="false" customHeight="true" outlineLevel="0" collapsed="false">
      <c r="A7" s="6" t="s">
        <v>8</v>
      </c>
      <c r="B7" s="7" t="n">
        <v>65</v>
      </c>
      <c r="C7" s="8" t="s">
        <v>9</v>
      </c>
      <c r="D7" s="8"/>
      <c r="E7" s="8"/>
      <c r="F7" s="8"/>
    </row>
    <row r="8" customFormat="false" ht="21.75" hidden="false" customHeight="true" outlineLevel="0" collapsed="false">
      <c r="A8" s="6" t="s">
        <v>10</v>
      </c>
      <c r="B8" s="7" t="n">
        <v>7</v>
      </c>
      <c r="C8" s="8" t="s">
        <v>11</v>
      </c>
      <c r="D8" s="8"/>
      <c r="E8" s="8"/>
      <c r="F8" s="8"/>
    </row>
    <row r="9" customFormat="false" ht="21.75" hidden="false" customHeight="true" outlineLevel="0" collapsed="false">
      <c r="A9" s="6" t="s">
        <v>12</v>
      </c>
      <c r="B9" s="7" t="n">
        <v>48</v>
      </c>
      <c r="C9" s="8" t="s">
        <v>13</v>
      </c>
      <c r="D9" s="8"/>
      <c r="E9" s="8"/>
      <c r="F9" s="8"/>
    </row>
    <row r="10" customFormat="false" ht="21.75" hidden="false" customHeight="true" outlineLevel="0" collapsed="false">
      <c r="A10" s="6" t="s">
        <v>14</v>
      </c>
      <c r="B10" s="7" t="s">
        <v>15</v>
      </c>
      <c r="C10" s="8" t="s">
        <v>16</v>
      </c>
      <c r="D10" s="8"/>
      <c r="E10" s="8"/>
      <c r="F10" s="8"/>
    </row>
    <row r="11" customFormat="false" ht="21.75" hidden="false" customHeight="true" outlineLevel="0" collapsed="false">
      <c r="A11" s="6" t="s">
        <v>17</v>
      </c>
      <c r="B11" s="7" t="n">
        <v>8500</v>
      </c>
      <c r="C11" s="8" t="s">
        <v>18</v>
      </c>
      <c r="D11" s="8"/>
      <c r="E11" s="8"/>
      <c r="F11" s="8"/>
    </row>
    <row r="12" customFormat="false" ht="21.75" hidden="false" customHeight="true" outlineLevel="0" collapsed="false">
      <c r="A12" s="6" t="s">
        <v>19</v>
      </c>
      <c r="B12" s="7" t="n">
        <v>320</v>
      </c>
      <c r="C12" s="8" t="s">
        <v>20</v>
      </c>
      <c r="D12" s="8"/>
      <c r="E12" s="8"/>
      <c r="F12" s="8"/>
    </row>
    <row r="13" customFormat="false" ht="21.75" hidden="false" customHeight="true" outlineLevel="0" collapsed="false">
      <c r="A13" s="6" t="s">
        <v>21</v>
      </c>
      <c r="B13" s="7" t="n">
        <v>1200</v>
      </c>
      <c r="C13" s="8" t="s">
        <v>22</v>
      </c>
      <c r="D13" s="8"/>
      <c r="E13" s="8"/>
      <c r="F13" s="8"/>
    </row>
    <row r="14" customFormat="false" ht="7.5" hidden="false" customHeight="true" outlineLevel="0" collapsed="false"/>
    <row r="15" customFormat="false" ht="19.5" hidden="false" customHeight="true" outlineLevel="0" collapsed="false">
      <c r="A15" s="4" t="s">
        <v>23</v>
      </c>
      <c r="B15" s="4"/>
      <c r="C15" s="4"/>
      <c r="D15" s="4"/>
      <c r="E15" s="4"/>
      <c r="F15" s="4"/>
    </row>
    <row r="16" customFormat="false" ht="21.75" hidden="false" customHeight="true" outlineLevel="0" collapsed="false">
      <c r="A16" s="5" t="s">
        <v>24</v>
      </c>
      <c r="B16" s="5" t="s">
        <v>25</v>
      </c>
      <c r="C16" s="5" t="s">
        <v>26</v>
      </c>
      <c r="D16" s="5" t="s">
        <v>27</v>
      </c>
      <c r="E16" s="5" t="s">
        <v>28</v>
      </c>
    </row>
    <row r="17" customFormat="false" ht="21.75" hidden="false" customHeight="true" outlineLevel="0" collapsed="false">
      <c r="A17" s="9" t="s">
        <v>29</v>
      </c>
      <c r="B17" s="10" t="n">
        <f aca="false">B6*B8*B9*B10</f>
        <v>1142.4</v>
      </c>
      <c r="C17" s="10" t="n">
        <f aca="false">B18*(1-B11)</f>
        <v>-0</v>
      </c>
      <c r="D17" s="10" t="n">
        <f aca="false">B18-C18</f>
        <v>-1020</v>
      </c>
      <c r="E17" s="11" t="n">
        <f aca="false">IF(B17=0,0,-D17/B17)</f>
        <v>0.892857142857143</v>
      </c>
    </row>
    <row r="18" customFormat="false" ht="21.75" hidden="false" customHeight="true" outlineLevel="0" collapsed="false">
      <c r="A18" s="12" t="s">
        <v>30</v>
      </c>
      <c r="B18" s="13" t="n">
        <v>0</v>
      </c>
      <c r="C18" s="13" t="n">
        <f aca="false">B13*B10</f>
        <v>1020</v>
      </c>
      <c r="D18" s="13" t="n">
        <f aca="false">-C19</f>
        <v>-0</v>
      </c>
      <c r="E18" s="14" t="str">
        <f aca="false">IF(B19=0,"-",C19/B19)</f>
        <v>-</v>
      </c>
    </row>
    <row r="19" customFormat="false" ht="21.75" hidden="false" customHeight="true" outlineLevel="0" collapsed="false">
      <c r="A19" s="9" t="s">
        <v>31</v>
      </c>
      <c r="B19" s="10" t="n">
        <v>0</v>
      </c>
      <c r="C19" s="10" t="n">
        <f aca="false">B14/3</f>
        <v>0</v>
      </c>
      <c r="D19" s="10" t="n">
        <f aca="false">-C19</f>
        <v>-0</v>
      </c>
      <c r="E19" s="11"/>
    </row>
    <row r="20" customFormat="false" ht="21.75" hidden="false" customHeight="true" outlineLevel="0" collapsed="false">
      <c r="A20" s="15" t="s">
        <v>32</v>
      </c>
      <c r="B20" s="16" t="n">
        <v>0</v>
      </c>
      <c r="C20" s="16" t="n">
        <f aca="false">B14/3</f>
        <v>0</v>
      </c>
      <c r="D20" s="16" t="n">
        <f aca="false">-C20</f>
        <v>-0</v>
      </c>
      <c r="E20" s="17" t="str">
        <f aca="false">IF(B21=0,"-",-D21/B21)</f>
        <v>-</v>
      </c>
    </row>
    <row r="21" customFormat="false" ht="7.5" hidden="false" customHeight="true" outlineLevel="0" collapsed="false"/>
    <row r="22" customFormat="false" ht="19.5" hidden="false" customHeight="true" outlineLevel="0" collapsed="false">
      <c r="A22" s="4" t="s">
        <v>33</v>
      </c>
      <c r="B22" s="4"/>
      <c r="C22" s="4"/>
      <c r="D22" s="4"/>
      <c r="E22" s="4"/>
      <c r="F22" s="4"/>
    </row>
    <row r="23" customFormat="false" ht="21.75" hidden="false" customHeight="true" outlineLevel="0" collapsed="false">
      <c r="A23" s="5" t="s">
        <v>34</v>
      </c>
      <c r="B23" s="5" t="s">
        <v>35</v>
      </c>
      <c r="C23" s="5" t="s">
        <v>36</v>
      </c>
      <c r="D23" s="5" t="s">
        <v>37</v>
      </c>
      <c r="E23" s="5" t="s">
        <v>38</v>
      </c>
    </row>
    <row r="24" customFormat="false" ht="21.75" hidden="false" customHeight="true" outlineLevel="0" collapsed="false">
      <c r="A24" s="12" t="s">
        <v>39</v>
      </c>
      <c r="B24" s="18" t="s">
        <v>40</v>
      </c>
      <c r="C24" s="19" t="str">
        <f aca="false">ROUND(B6*B8*B11,0)&amp;" hrs/wk automated"</f>
        <v>238000 hrs/wk automated</v>
      </c>
      <c r="D24" s="20" t="n">
        <f aca="false">B6*B8*B11*B9*B7</f>
        <v>742560000</v>
      </c>
      <c r="E24" s="21" t="s">
        <v>41</v>
      </c>
    </row>
    <row r="25" customFormat="false" ht="21.75" hidden="false" customHeight="true" outlineLevel="0" collapsed="false">
      <c r="A25" s="9" t="s">
        <v>42</v>
      </c>
      <c r="B25" s="22" t="s">
        <v>43</v>
      </c>
      <c r="C25" s="23" t="s">
        <v>44</v>
      </c>
      <c r="D25" s="24" t="n">
        <v>18200</v>
      </c>
      <c r="E25" s="21" t="s">
        <v>41</v>
      </c>
    </row>
    <row r="26" customFormat="false" ht="21.75" hidden="false" customHeight="true" outlineLevel="0" collapsed="false">
      <c r="A26" s="12" t="s">
        <v>45</v>
      </c>
      <c r="B26" s="18" t="s">
        <v>46</v>
      </c>
      <c r="C26" s="19" t="s">
        <v>47</v>
      </c>
      <c r="D26" s="20" t="n">
        <v>9600</v>
      </c>
      <c r="E26" s="25" t="s">
        <v>48</v>
      </c>
    </row>
    <row r="27" customFormat="false" ht="21.75" hidden="false" customHeight="true" outlineLevel="0" collapsed="false">
      <c r="A27" s="9" t="s">
        <v>49</v>
      </c>
      <c r="B27" s="22" t="s">
        <v>50</v>
      </c>
      <c r="C27" s="23" t="s">
        <v>51</v>
      </c>
      <c r="D27" s="24" t="n">
        <v>24000</v>
      </c>
      <c r="E27" s="25" t="s">
        <v>48</v>
      </c>
    </row>
    <row r="28" customFormat="false" ht="21.75" hidden="false" customHeight="true" outlineLevel="0" collapsed="false">
      <c r="A28" s="26" t="s">
        <v>52</v>
      </c>
      <c r="B28" s="27"/>
      <c r="C28" s="27"/>
      <c r="D28" s="28" t="n">
        <f aca="false">SUM(D24:D27)</f>
        <v>742611800</v>
      </c>
      <c r="E28" s="21"/>
    </row>
    <row r="29" customFormat="false" ht="7.5" hidden="false" customHeight="true" outlineLevel="0" collapsed="false"/>
    <row r="30" customFormat="false" ht="19.5" hidden="false" customHeight="true" outlineLevel="0" collapsed="false">
      <c r="A30" s="4" t="s">
        <v>53</v>
      </c>
      <c r="B30" s="4"/>
      <c r="C30" s="4"/>
      <c r="D30" s="4"/>
      <c r="E30" s="4"/>
      <c r="F30" s="4"/>
    </row>
    <row r="31" customFormat="false" ht="21.75" hidden="false" customHeight="true" outlineLevel="0" collapsed="false">
      <c r="A31" s="29" t="s">
        <v>54</v>
      </c>
      <c r="B31" s="30" t="n">
        <f aca="false">B13+B14</f>
        <v>1200</v>
      </c>
      <c r="C31" s="30"/>
      <c r="D31" s="30"/>
      <c r="E31" s="30"/>
      <c r="F31" s="31"/>
    </row>
    <row r="32" customFormat="false" ht="21.75" hidden="false" customHeight="true" outlineLevel="0" collapsed="false">
      <c r="A32" s="29" t="s">
        <v>55</v>
      </c>
      <c r="B32" s="30" t="n">
        <f aca="false">B13+B14</f>
        <v>1200</v>
      </c>
      <c r="C32" s="30"/>
      <c r="D32" s="30"/>
      <c r="E32" s="30"/>
      <c r="F32" s="31"/>
    </row>
    <row r="33" customFormat="false" ht="21.75" hidden="false" customHeight="true" outlineLevel="0" collapsed="false">
      <c r="A33" s="29" t="s">
        <v>56</v>
      </c>
      <c r="B33" s="32" t="n">
        <f aca="false">D28</f>
        <v>742611800</v>
      </c>
      <c r="C33" s="32"/>
      <c r="D33" s="32"/>
      <c r="E33" s="32"/>
      <c r="F33" s="33"/>
    </row>
    <row r="34" customFormat="false" ht="21.75" hidden="false" customHeight="true" outlineLevel="0" collapsed="false">
      <c r="A34" s="29" t="s">
        <v>57</v>
      </c>
      <c r="B34" s="32" t="n">
        <f aca="false">D33-D32</f>
        <v>0</v>
      </c>
      <c r="C34" s="32"/>
      <c r="D34" s="32"/>
      <c r="E34" s="32"/>
      <c r="F34" s="33"/>
    </row>
    <row r="35" customFormat="false" ht="21.75" hidden="false" customHeight="true" outlineLevel="0" collapsed="false">
      <c r="A35" s="29" t="s">
        <v>58</v>
      </c>
      <c r="B35" s="34" t="str">
        <f aca="false">IF(D34=0,"N/A",D31/D34*12)</f>
        <v>N/A</v>
      </c>
      <c r="C35" s="34"/>
      <c r="D35" s="34"/>
      <c r="E35" s="34"/>
      <c r="F35" s="35"/>
    </row>
    <row r="36" customFormat="false" ht="21.75" hidden="false" customHeight="true" outlineLevel="0" collapsed="false">
      <c r="A36" s="29" t="s">
        <v>59</v>
      </c>
      <c r="B36" s="36" t="str">
        <f aca="false">IF(D31=0,"N/A",(D34*3-D31)/D31)</f>
        <v>N/A</v>
      </c>
      <c r="C36" s="36"/>
      <c r="D36" s="36"/>
      <c r="E36" s="36"/>
      <c r="F36" s="35"/>
    </row>
    <row r="37" customFormat="false" ht="7.5" hidden="false" customHeight="true" outlineLevel="0" collapsed="false">
      <c r="A37" s="29" t="s">
        <v>60</v>
      </c>
      <c r="B37" s="37" t="n">
        <f aca="false">D34*3-D31</f>
        <v>0</v>
      </c>
      <c r="C37" s="37"/>
      <c r="D37" s="37"/>
      <c r="E37" s="37"/>
      <c r="F37" s="35"/>
    </row>
    <row r="38" customFormat="false" ht="19.5" hidden="false" customHeight="true" outlineLevel="0" collapsed="false">
      <c r="A38" s="4" t="s">
        <v>61</v>
      </c>
      <c r="B38" s="4"/>
      <c r="C38" s="4"/>
      <c r="D38" s="4"/>
      <c r="E38" s="4"/>
      <c r="F38" s="4"/>
    </row>
    <row r="39" customFormat="false" ht="27.75" hidden="false" customHeight="true" outlineLevel="0" collapsed="false">
      <c r="A39" s="38" t="s">
        <v>62</v>
      </c>
      <c r="B39" s="38"/>
      <c r="C39" s="38"/>
      <c r="D39" s="38"/>
      <c r="E39" s="38"/>
      <c r="F39" s="38"/>
    </row>
    <row r="40" customFormat="false" ht="27.75" hidden="false" customHeight="true" outlineLevel="0" collapsed="false">
      <c r="A40" s="38" t="s">
        <v>63</v>
      </c>
      <c r="B40" s="38"/>
      <c r="C40" s="38"/>
      <c r="D40" s="38"/>
      <c r="E40" s="38"/>
      <c r="F40" s="38"/>
    </row>
    <row r="41" customFormat="false" ht="27.75" hidden="false" customHeight="true" outlineLevel="0" collapsed="false">
      <c r="A41" s="38" t="s">
        <v>64</v>
      </c>
      <c r="B41" s="38"/>
      <c r="C41" s="38"/>
      <c r="D41" s="38"/>
      <c r="E41" s="38"/>
      <c r="F41" s="38"/>
    </row>
    <row r="42" customFormat="false" ht="27.75" hidden="false" customHeight="true" outlineLevel="0" collapsed="false">
      <c r="A42" s="38" t="s">
        <v>65</v>
      </c>
      <c r="B42" s="38"/>
      <c r="C42" s="38"/>
      <c r="D42" s="38"/>
      <c r="E42" s="38"/>
      <c r="F42" s="38"/>
    </row>
  </sheetData>
  <mergeCells count="28">
    <mergeCell ref="A1:F1"/>
    <mergeCell ref="A2:F2"/>
    <mergeCell ref="A4:F4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A15:F15"/>
    <mergeCell ref="A22:F22"/>
    <mergeCell ref="B28:C28"/>
    <mergeCell ref="A30:F30"/>
    <mergeCell ref="B31:E31"/>
    <mergeCell ref="B32:E32"/>
    <mergeCell ref="B33:E33"/>
    <mergeCell ref="B34:E34"/>
    <mergeCell ref="B35:E35"/>
    <mergeCell ref="B36:E36"/>
    <mergeCell ref="B37:E37"/>
    <mergeCell ref="A38:F38"/>
    <mergeCell ref="A39:F39"/>
    <mergeCell ref="A40:F40"/>
    <mergeCell ref="A41:F41"/>
    <mergeCell ref="A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2026-06-27T10:40:43Z</dcterms:created>
  <dc:creator>openpyxl</dc:creator>
  <dc:description/>
  <dc:language>en-US</dc:language>
  <cp:lastModifiedBy/>
  <dcterms:modified xsi:type="dcterms:W3CDTF">2026-06-27T10:40:58Z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