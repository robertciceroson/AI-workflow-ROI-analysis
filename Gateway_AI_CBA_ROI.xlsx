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Revised Excel/"/>
    </mc:Choice>
  </mc:AlternateContent>
  <xr:revisionPtr revIDLastSave="0" documentId="8_{1BDBBA04-4B80-4074-AC2E-81342998CFC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BA ROI Report" sheetId="1" r:id="rId1"/>
  </sheets>
  <definedNames>
    <definedName name="_xlnm.Print_Area" localSheetId="0">'CBA ROI Report'!$A$1:$F$44</definedName>
  </definedNames>
  <calcPr calcId="191029" iterateDelta="1E-4"/>
</workbook>
</file>

<file path=xl/calcChain.xml><?xml version="1.0" encoding="utf-8"?>
<calcChain xmlns="http://schemas.openxmlformats.org/spreadsheetml/2006/main">
  <c r="B31" i="1" l="1"/>
  <c r="B30" i="1"/>
  <c r="C18" i="1"/>
  <c r="B18" i="1"/>
  <c r="E17" i="1"/>
  <c r="D17" i="1"/>
  <c r="C17" i="1"/>
  <c r="E16" i="1"/>
  <c r="C16" i="1"/>
  <c r="C15" i="1"/>
  <c r="B15" i="1"/>
  <c r="D18" i="1" l="1"/>
  <c r="E18" i="1"/>
  <c r="E15" i="1"/>
  <c r="D16" i="1"/>
  <c r="D15" i="1"/>
  <c r="D23" i="1" s="1"/>
  <c r="D27" i="1" s="1"/>
  <c r="B32" i="1" s="1"/>
  <c r="B33" i="1" l="1"/>
  <c r="B34" i="1" l="1"/>
  <c r="B36" i="1"/>
  <c r="B35" i="1"/>
</calcChain>
</file>

<file path=xl/sharedStrings.xml><?xml version="1.0" encoding="utf-8"?>
<sst xmlns="http://schemas.openxmlformats.org/spreadsheetml/2006/main" count="64" uniqueCount="62">
  <si>
    <t>AI Workflow Implementation — Cost-Benefit Analysis &amp; ROI Report
Gateway AI Advisory  ·  Client: Acme Operations Group  ·  Engagement: AI Emails Triage &amp; Workflow Automation</t>
  </si>
  <si>
    <t>SECTION 1 — KEY ASSUMPTIONS (Inputs shown in blue)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</si>
  <si>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</si>
  <si>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</si>
  <si>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</si>
  <si>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</si>
  <si>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</si>
  <si>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</si>
  <si>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</si>
  <si>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</si>
  <si>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</si>
  <si>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</si>
  <si>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</si>
  <si>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</si>
  <si>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</si>
  <si>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</si>
  <si>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</si>
  <si>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</si>
  <si>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</si>
  <si>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</si>
  <si>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</si>
  <si>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</si>
  <si>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</si>
  <si>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</si>
  <si>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 *</t>
  </si>
  <si>
    <t>Platform / Tool Costs</t>
  </si>
  <si>
    <t>Training &amp; Change Mgmt (amortized 3yr)</t>
  </si>
  <si>
    <t>Total Costs **</t>
  </si>
  <si>
    <t>* Labor cost based on 4 FTEs × 7 hrs/wk × 48 wks × $65/hr fully-loaded rate; Post-AI reflects 85% automation efficiency gain.
** % Reduction differs between rows: E15 (−85.0%) reflects labor savings only, driven by the 85% automation assumption. E18 (−80.1%) reflects total cost reduction after factoring in new Post-AI platform and training expenses ($3,840 + $400/yr), which partially offset labor savings.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</si>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</sst>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b/>
      <sz val="12"/>
      <color rgb="FFFFFFFF"/>
      <name val="Calibri"/>
      <charset val="1"/>
    </font>
    <font>
      <sz val="12"/>
      <color rgb="FF000000"/>
      <name val="Calibri"/>
      <charset val="1"/>
    </font>
    <font>
      <b/>
      <sz val="12"/>
      <color rgb="FF0000FF"/>
      <name val="Calibri"/>
      <charset val="1"/>
    </font>
    <font>
      <sz val="11"/>
      <color rgb="FF595959"/>
      <name val="Calibri"/>
      <charset val="1"/>
    </font>
    <font>
      <sz val="12"/>
      <color rgb="FFFF0000"/>
      <name val="Calibri"/>
      <charset val="1"/>
    </font>
    <font>
      <sz val="12"/>
      <color rgb="FF1E6B2E"/>
      <name val="Calibri"/>
      <charset val="1"/>
    </font>
    <font>
      <b/>
      <sz val="12"/>
      <color rgb="FF000000"/>
      <name val="Calibri"/>
      <charset val="1"/>
    </font>
    <font>
      <b/>
      <sz val="12"/>
      <color rgb="FFFF0000"/>
      <name val="Calibri"/>
      <charset val="1"/>
    </font>
    <font>
      <sz val="12"/>
      <color rgb="FF595959"/>
      <name val="Calibri"/>
      <charset val="1"/>
    </font>
    <font>
      <sz val="11"/>
      <color rgb="FF1E6B2E"/>
      <name val="Calibri"/>
      <charset val="1"/>
    </font>
    <font>
      <b/>
      <sz val="12"/>
      <color rgb="FF1E6B2E"/>
      <name val="Calibri"/>
      <charset val="1"/>
    </font>
    <font>
      <b/>
      <sz val="14"/>
      <color rgb="FF843C00"/>
      <name val="Calibri"/>
      <charset val="1"/>
    </font>
    <font>
      <b/>
      <sz val="14"/>
      <color rgb="FF1E6B2E"/>
      <name val="Calibri"/>
      <charset val="1"/>
    </font>
    <font>
      <b/>
      <sz val="14"/>
      <color rgb="FF1F4E79"/>
      <name val="Calibri"/>
      <charset val="1"/>
    </font>
    <font>
      <sz val="10"/>
      <color rgb="FFFF0000"/>
      <name val="Calibri"/>
    </font>
    <font>
      <b/>
      <sz val="12"/>
      <color rgb="FF0000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  <fill>
      <patternFill patternType="solid">
        <fgColor rgb="FFEEF4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5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164" fontId="8" fillId="8" borderId="1" xfId="0" applyNumberFormat="1" applyFont="1" applyFill="1" applyBorder="1" applyAlignment="1">
      <alignment horizontal="right" vertical="center"/>
    </xf>
    <xf numFmtId="0" fontId="10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right" vertical="center"/>
    </xf>
    <xf numFmtId="0" fontId="11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164" fontId="12" fillId="9" borderId="1" xfId="0" applyNumberFormat="1" applyFont="1" applyFill="1" applyBorder="1" applyAlignment="1">
      <alignment horizontal="right" vertical="center"/>
    </xf>
    <xf numFmtId="164" fontId="13" fillId="10" borderId="1" xfId="0" applyNumberFormat="1" applyFont="1" applyFill="1" applyBorder="1" applyAlignment="1">
      <alignment horizontal="center" vertical="center"/>
    </xf>
    <xf numFmtId="164" fontId="14" fillId="9" borderId="1" xfId="0" applyNumberFormat="1" applyFont="1" applyFill="1" applyBorder="1" applyAlignment="1">
      <alignment horizontal="center" vertical="center"/>
    </xf>
    <xf numFmtId="166" fontId="15" fillId="8" borderId="1" xfId="0" applyNumberFormat="1" applyFont="1" applyFill="1" applyBorder="1" applyAlignment="1">
      <alignment horizontal="center" vertical="center"/>
    </xf>
    <xf numFmtId="165" fontId="15" fillId="8" borderId="1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9" fontId="17" fillId="11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 wrapText="1"/>
    </xf>
    <xf numFmtId="0" fontId="0" fillId="0" borderId="0" xfId="0"/>
    <xf numFmtId="0" fontId="5" fillId="4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3" fillId="9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165" fontId="7" fillId="6" borderId="1" xfId="0" applyNumberFormat="1" applyFont="1" applyFill="1" applyBorder="1" applyAlignment="1">
      <alignment horizontal="center" vertical="center"/>
    </xf>
    <xf numFmtId="0" fontId="16" fillId="4" borderId="0" xfId="0" applyFont="1" applyFill="1" applyAlignment="1">
      <alignment horizontal="left" vertical="center" wrapText="1"/>
    </xf>
    <xf numFmtId="165" fontId="6" fillId="6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165" fontId="7" fillId="7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5" fontId="9" fillId="8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4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4"/>
  <sheetViews>
    <sheetView tabSelected="1" zoomScaleNormal="100" workbookViewId="0">
      <selection activeCell="I11" sqref="I11"/>
    </sheetView>
  </sheetViews>
  <sheetFormatPr defaultColWidth="8.7109375" defaultRowHeight="15" x14ac:dyDescent="0.25"/>
  <cols>
    <col min="1" max="1" width="58" customWidth="1"/>
    <col min="2" max="3" width="32" customWidth="1"/>
    <col min="4" max="4" width="18" customWidth="1"/>
    <col min="5" max="5" width="14" customWidth="1"/>
  </cols>
  <sheetData>
    <row r="1" spans="1:6" ht="39.75" customHeight="1" x14ac:dyDescent="0.25">
      <c r="A1" s="46" t="s">
        <v>0</v>
      </c>
      <c r="B1" s="32"/>
      <c r="C1" s="32"/>
      <c r="D1" s="32"/>
      <c r="E1" s="32"/>
      <c r="F1" s="32"/>
    </row>
    <row r="2" spans="1:6" ht="10.5" customHeight="1" x14ac:dyDescent="0.25"/>
    <row r="3" spans="1:6" ht="14.25" customHeight="1" x14ac:dyDescent="0.25">
      <c r="A3" s="40" t="s">
        <v>1</v>
      </c>
      <c r="B3" s="32"/>
      <c r="C3" s="32"/>
      <c r="D3" s="32"/>
      <c r="E3" s="32"/>
      <c r="F3" s="32"/>
    </row>
    <row r="4" spans="1:6" ht="25.5" customHeight="1" x14ac:dyDescent="0.25">
      <c r="A4" s="27" t="s">
        <v>2</v>
      </c>
      <c r="B4" s="25">
        <v>4</v>
      </c>
      <c r="C4" s="33" t="s">
        <v>3</v>
      </c>
      <c r="D4" s="34"/>
      <c r="E4" s="34"/>
      <c r="F4" s="35"/>
    </row>
    <row r="5" spans="1:6" ht="25.5" customHeight="1" x14ac:dyDescent="0.25">
      <c r="A5" s="15" t="s">
        <v>4</v>
      </c>
      <c r="B5" s="2">
        <v>65</v>
      </c>
      <c r="C5" s="37" t="s">
        <v>5</v>
      </c>
      <c r="D5" s="34"/>
      <c r="E5" s="34"/>
      <c r="F5" s="35"/>
    </row>
    <row r="6" spans="1:6" ht="25.5" customHeight="1" x14ac:dyDescent="0.25">
      <c r="A6" s="27" t="s">
        <v>6</v>
      </c>
      <c r="B6" s="2">
        <v>7</v>
      </c>
      <c r="C6" s="33" t="s">
        <v>7</v>
      </c>
      <c r="D6" s="34"/>
      <c r="E6" s="34"/>
      <c r="F6" s="35"/>
    </row>
    <row r="7" spans="1:6" ht="25.5" customHeight="1" x14ac:dyDescent="0.25">
      <c r="A7" s="15" t="s">
        <v>8</v>
      </c>
      <c r="B7" s="2">
        <v>48</v>
      </c>
      <c r="C7" s="37" t="s">
        <v>9</v>
      </c>
      <c r="D7" s="34"/>
      <c r="E7" s="34"/>
      <c r="F7" s="35"/>
    </row>
    <row r="8" spans="1:6" ht="25.5" customHeight="1" x14ac:dyDescent="0.25">
      <c r="A8" s="27" t="s">
        <v>10</v>
      </c>
      <c r="B8" s="26">
        <v>0.85</v>
      </c>
      <c r="C8" s="33" t="s">
        <v>11</v>
      </c>
      <c r="D8" s="34"/>
      <c r="E8" s="34"/>
      <c r="F8" s="35"/>
    </row>
    <row r="9" spans="1:6" ht="25.5" customHeight="1" x14ac:dyDescent="0.25">
      <c r="A9" s="15" t="s">
        <v>12</v>
      </c>
      <c r="B9" s="2">
        <v>8500</v>
      </c>
      <c r="C9" s="37" t="s">
        <v>13</v>
      </c>
      <c r="D9" s="34"/>
      <c r="E9" s="34"/>
      <c r="F9" s="35"/>
    </row>
    <row r="10" spans="1:6" ht="25.5" customHeight="1" x14ac:dyDescent="0.25">
      <c r="A10" s="27" t="s">
        <v>14</v>
      </c>
      <c r="B10" s="2">
        <v>320</v>
      </c>
      <c r="C10" s="33" t="s">
        <v>15</v>
      </c>
      <c r="D10" s="34"/>
      <c r="E10" s="34"/>
      <c r="F10" s="35"/>
    </row>
    <row r="11" spans="1:6" ht="25.5" customHeight="1" x14ac:dyDescent="0.25">
      <c r="A11" s="15" t="s">
        <v>16</v>
      </c>
      <c r="B11" s="2">
        <v>1200</v>
      </c>
      <c r="C11" s="37" t="s">
        <v>17</v>
      </c>
      <c r="D11" s="34"/>
      <c r="E11" s="34"/>
      <c r="F11" s="35"/>
    </row>
    <row r="12" spans="1:6" ht="12.75" customHeight="1" x14ac:dyDescent="0.25"/>
    <row r="13" spans="1:6" ht="14.25" customHeight="1" x14ac:dyDescent="0.25">
      <c r="A13" s="40" t="s">
        <v>18</v>
      </c>
      <c r="B13" s="32"/>
      <c r="C13" s="32"/>
      <c r="D13" s="32"/>
      <c r="E13" s="32"/>
      <c r="F13" s="32"/>
    </row>
    <row r="14" spans="1:6" ht="15" customHeight="1" x14ac:dyDescent="0.25">
      <c r="A14" s="3" t="s">
        <v>19</v>
      </c>
      <c r="B14" s="3" t="s">
        <v>20</v>
      </c>
      <c r="C14" s="3" t="s">
        <v>21</v>
      </c>
      <c r="D14" s="3" t="s">
        <v>22</v>
      </c>
      <c r="E14" s="39" t="s">
        <v>23</v>
      </c>
      <c r="F14" s="35"/>
    </row>
    <row r="15" spans="1:6" ht="25.5" customHeight="1" x14ac:dyDescent="0.25">
      <c r="A15" s="15" t="s">
        <v>24</v>
      </c>
      <c r="B15" s="4">
        <f>B4*B5*B6*B7</f>
        <v>87360</v>
      </c>
      <c r="C15" s="4">
        <f>B15*(1-B8)</f>
        <v>13104.000000000002</v>
      </c>
      <c r="D15" s="4">
        <f>B15-C15</f>
        <v>74256</v>
      </c>
      <c r="E15" s="43">
        <f>(C15-B15)/B15</f>
        <v>-0.85</v>
      </c>
      <c r="F15" s="35"/>
    </row>
    <row r="16" spans="1:6" ht="25.5" customHeight="1" x14ac:dyDescent="0.25">
      <c r="A16" s="28" t="s">
        <v>25</v>
      </c>
      <c r="B16" s="5">
        <v>0</v>
      </c>
      <c r="C16" s="5">
        <f>B10*12</f>
        <v>3840</v>
      </c>
      <c r="D16" s="5">
        <f>B16-C16</f>
        <v>-3840</v>
      </c>
      <c r="E16" s="45" t="str">
        <f>IF(B16=0,"N/A",(C16-B16)/B16)</f>
        <v>N/A</v>
      </c>
      <c r="F16" s="35"/>
    </row>
    <row r="17" spans="1:6" ht="25.5" customHeight="1" x14ac:dyDescent="0.25">
      <c r="A17" s="15" t="s">
        <v>26</v>
      </c>
      <c r="B17" s="6">
        <v>0</v>
      </c>
      <c r="C17" s="6">
        <f>B11/3</f>
        <v>400</v>
      </c>
      <c r="D17" s="6">
        <f>B17-C17</f>
        <v>-400</v>
      </c>
      <c r="E17" s="41" t="str">
        <f>IF(B17=0,"N/A",(C17-B17)/B17)</f>
        <v>N/A</v>
      </c>
      <c r="F17" s="35"/>
    </row>
    <row r="18" spans="1:6" ht="25.5" customHeight="1" x14ac:dyDescent="0.25">
      <c r="A18" s="29" t="s">
        <v>27</v>
      </c>
      <c r="B18" s="7">
        <f>B15+B16+B17</f>
        <v>87360</v>
      </c>
      <c r="C18" s="7">
        <f>C15+C16+C17</f>
        <v>17344</v>
      </c>
      <c r="D18" s="7">
        <f>B18-C18</f>
        <v>70016</v>
      </c>
      <c r="E18" s="47">
        <f>(C18-B18)/B18</f>
        <v>-0.8014652014652015</v>
      </c>
      <c r="F18" s="35"/>
    </row>
    <row r="19" spans="1:6" ht="60" customHeight="1" x14ac:dyDescent="0.25">
      <c r="A19" s="42" t="s">
        <v>28</v>
      </c>
      <c r="B19" s="32"/>
      <c r="C19" s="32"/>
      <c r="D19" s="32"/>
      <c r="E19" s="32"/>
      <c r="F19" s="32"/>
    </row>
    <row r="20" spans="1:6" ht="12.75" customHeight="1" x14ac:dyDescent="0.25"/>
    <row r="21" spans="1:6" ht="14.25" customHeight="1" x14ac:dyDescent="0.25">
      <c r="A21" s="40" t="s">
        <v>29</v>
      </c>
      <c r="B21" s="32"/>
      <c r="C21" s="32"/>
      <c r="D21" s="32"/>
      <c r="E21" s="32"/>
      <c r="F21" s="32"/>
    </row>
    <row r="22" spans="1:6" ht="15" customHeight="1" x14ac:dyDescent="0.25">
      <c r="A22" s="3" t="s">
        <v>30</v>
      </c>
      <c r="B22" s="3" t="s">
        <v>31</v>
      </c>
      <c r="C22" s="3" t="s">
        <v>32</v>
      </c>
      <c r="D22" s="3" t="s">
        <v>33</v>
      </c>
      <c r="E22" s="39" t="s">
        <v>34</v>
      </c>
      <c r="F22" s="35"/>
    </row>
    <row r="23" spans="1:6" ht="25.5" customHeight="1" x14ac:dyDescent="0.25">
      <c r="A23" s="15" t="s">
        <v>35</v>
      </c>
      <c r="B23" s="8" t="s">
        <v>36</v>
      </c>
      <c r="C23" s="9" t="s">
        <v>37</v>
      </c>
      <c r="D23" s="10">
        <f>D15</f>
        <v>74256</v>
      </c>
      <c r="E23" s="38" t="s">
        <v>38</v>
      </c>
      <c r="F23" s="35"/>
    </row>
    <row r="24" spans="1:6" ht="30" customHeight="1" x14ac:dyDescent="0.25">
      <c r="A24" s="15" t="s">
        <v>39</v>
      </c>
      <c r="B24" s="1" t="s">
        <v>40</v>
      </c>
      <c r="C24" s="11" t="s">
        <v>41</v>
      </c>
      <c r="D24" s="10">
        <v>18200</v>
      </c>
      <c r="E24" s="36" t="s">
        <v>38</v>
      </c>
      <c r="F24" s="35"/>
    </row>
    <row r="25" spans="1:6" ht="30" customHeight="1" x14ac:dyDescent="0.25">
      <c r="A25" s="28" t="s">
        <v>42</v>
      </c>
      <c r="B25" s="12" t="s">
        <v>43</v>
      </c>
      <c r="C25" s="13" t="s">
        <v>44</v>
      </c>
      <c r="D25" s="14">
        <v>9600</v>
      </c>
      <c r="E25" s="44" t="s">
        <v>45</v>
      </c>
      <c r="F25" s="35"/>
    </row>
    <row r="26" spans="1:6" ht="30" customHeight="1" x14ac:dyDescent="0.25">
      <c r="A26" s="15" t="s">
        <v>46</v>
      </c>
      <c r="B26" s="1" t="s">
        <v>47</v>
      </c>
      <c r="C26" s="15"/>
      <c r="D26" s="10">
        <v>24000</v>
      </c>
      <c r="E26" s="44" t="s">
        <v>45</v>
      </c>
      <c r="F26" s="35"/>
    </row>
    <row r="27" spans="1:6" ht="30" customHeight="1" x14ac:dyDescent="0.25">
      <c r="A27" s="16" t="s">
        <v>48</v>
      </c>
      <c r="B27" s="17"/>
      <c r="C27" s="18"/>
      <c r="D27" s="19">
        <f>SUM(D23:D26)</f>
        <v>126056</v>
      </c>
      <c r="E27" s="36"/>
      <c r="F27" s="35"/>
    </row>
    <row r="28" spans="1:6" ht="15" customHeight="1" x14ac:dyDescent="0.25"/>
    <row r="29" spans="1:6" ht="14.25" customHeight="1" x14ac:dyDescent="0.25">
      <c r="A29" s="40" t="s">
        <v>49</v>
      </c>
      <c r="B29" s="32"/>
      <c r="C29" s="32"/>
      <c r="D29" s="32"/>
      <c r="E29" s="32"/>
      <c r="F29" s="32"/>
    </row>
    <row r="30" spans="1:6" ht="30" customHeight="1" x14ac:dyDescent="0.25">
      <c r="A30" s="30" t="s">
        <v>50</v>
      </c>
      <c r="B30" s="20">
        <f>B9+B11</f>
        <v>9700</v>
      </c>
    </row>
    <row r="31" spans="1:6" ht="25.5" customHeight="1" x14ac:dyDescent="0.25">
      <c r="A31" s="30" t="s">
        <v>51</v>
      </c>
      <c r="B31" s="20">
        <f>B10*12+B11/3</f>
        <v>4240</v>
      </c>
    </row>
    <row r="32" spans="1:6" ht="30" customHeight="1" x14ac:dyDescent="0.25">
      <c r="A32" s="30" t="s">
        <v>52</v>
      </c>
      <c r="B32" s="21">
        <f>D27</f>
        <v>126056</v>
      </c>
    </row>
    <row r="33" spans="1:6" ht="30" customHeight="1" x14ac:dyDescent="0.25">
      <c r="A33" s="30" t="s">
        <v>53</v>
      </c>
      <c r="B33" s="21">
        <f>B32-B31</f>
        <v>121816</v>
      </c>
    </row>
    <row r="34" spans="1:6" ht="30" customHeight="1" x14ac:dyDescent="0.25">
      <c r="A34" s="30" t="s">
        <v>54</v>
      </c>
      <c r="B34" s="22">
        <f>IF(B31=0,"N/A",B30/B33*12)</f>
        <v>0.95553950220003936</v>
      </c>
    </row>
    <row r="35" spans="1:6" ht="30" customHeight="1" x14ac:dyDescent="0.25">
      <c r="A35" s="30" t="s">
        <v>55</v>
      </c>
      <c r="B35" s="23">
        <f>IF(B30=0,"N/A",(B33*3-B30)/B30)</f>
        <v>36.675051546391749</v>
      </c>
    </row>
    <row r="36" spans="1:6" ht="30" customHeight="1" x14ac:dyDescent="0.25">
      <c r="A36" s="30" t="s">
        <v>56</v>
      </c>
      <c r="B36" s="24">
        <f>B33*3-B30</f>
        <v>355748</v>
      </c>
    </row>
    <row r="37" spans="1:6" ht="15" customHeight="1" x14ac:dyDescent="0.25"/>
    <row r="38" spans="1:6" ht="30" customHeight="1" x14ac:dyDescent="0.25">
      <c r="A38" s="40" t="s">
        <v>57</v>
      </c>
      <c r="B38" s="32"/>
      <c r="C38" s="32"/>
      <c r="D38" s="32"/>
      <c r="E38" s="32"/>
      <c r="F38" s="32"/>
    </row>
    <row r="39" spans="1:6" ht="15" customHeight="1" x14ac:dyDescent="0.25">
      <c r="A39" s="31" t="s">
        <v>58</v>
      </c>
      <c r="B39" s="32"/>
      <c r="C39" s="32"/>
      <c r="D39" s="32"/>
      <c r="E39" s="32"/>
      <c r="F39" s="32"/>
    </row>
    <row r="40" spans="1:6" ht="31.5" customHeight="1" x14ac:dyDescent="0.25">
      <c r="A40" s="31" t="s">
        <v>59</v>
      </c>
      <c r="B40" s="32"/>
      <c r="C40" s="32"/>
      <c r="D40" s="32"/>
      <c r="E40" s="32"/>
      <c r="F40" s="32"/>
    </row>
    <row r="41" spans="1:6" ht="31.5" customHeight="1" x14ac:dyDescent="0.25">
      <c r="A41" s="31" t="s">
        <v>60</v>
      </c>
      <c r="B41" s="32"/>
      <c r="C41" s="32"/>
      <c r="D41" s="32"/>
      <c r="E41" s="32"/>
      <c r="F41" s="32"/>
    </row>
    <row r="42" spans="1:6" ht="31.5" customHeight="1" x14ac:dyDescent="0.25">
      <c r="A42" s="31" t="s">
        <v>61</v>
      </c>
      <c r="B42" s="32"/>
      <c r="C42" s="32"/>
      <c r="D42" s="32"/>
      <c r="E42" s="32"/>
      <c r="F42" s="32"/>
    </row>
    <row r="43" spans="1:6" ht="31.5" customHeight="1" x14ac:dyDescent="0.25"/>
    <row r="44" spans="1:6" ht="48" customHeight="1" x14ac:dyDescent="0.25"/>
  </sheetData>
  <mergeCells count="30">
    <mergeCell ref="A1:F1"/>
    <mergeCell ref="E22:F22"/>
    <mergeCell ref="C11:F11"/>
    <mergeCell ref="E18:F18"/>
    <mergeCell ref="A3:F3"/>
    <mergeCell ref="E17:F17"/>
    <mergeCell ref="A21:F21"/>
    <mergeCell ref="A42:F42"/>
    <mergeCell ref="C6:F6"/>
    <mergeCell ref="C5:F5"/>
    <mergeCell ref="A29:F29"/>
    <mergeCell ref="A38:F38"/>
    <mergeCell ref="A13:F13"/>
    <mergeCell ref="A19:F19"/>
    <mergeCell ref="C4:F4"/>
    <mergeCell ref="E15:F15"/>
    <mergeCell ref="E27:F27"/>
    <mergeCell ref="A40:F40"/>
    <mergeCell ref="C10:F10"/>
    <mergeCell ref="E26:F26"/>
    <mergeCell ref="A41:F41"/>
    <mergeCell ref="C8:F8"/>
    <mergeCell ref="E24:F24"/>
    <mergeCell ref="C7:F7"/>
    <mergeCell ref="E23:F23"/>
    <mergeCell ref="E14:F14"/>
    <mergeCell ref="A39:F39"/>
    <mergeCell ref="C9:F9"/>
    <mergeCell ref="E16:F16"/>
    <mergeCell ref="E25:F25"/>
  </mergeCells>
  <printOptions horizontalCentered="1"/>
  <pageMargins left="0.5" right="0.5" top="0.5" bottom="0.5" header="0.511811023622047" footer="0.511811023622047"/>
  <pageSetup paperSize="9" scale="4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CBA ROI Report</vt:lpstr>
      <vt:lpstr>'CBA ROI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Son</cp:lastModifiedBy>
  <cp:revision>0</cp:revision>
  <cp:lastPrinted>2026-06-27T21:06:52Z</cp:lastPrinted>
  <dcterms:created xsi:type="dcterms:W3CDTF">2026-06-27T20:38:59Z</dcterms:created>
  <dcterms:modified xsi:type="dcterms:W3CDTF">2026-06-28T11:52:22Z</dcterms:modified>
  <dc:language>en-US</dc:language>
</cp:coreProperties>
</file>