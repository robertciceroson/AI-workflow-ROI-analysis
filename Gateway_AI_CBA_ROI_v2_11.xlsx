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1bd2bd6a12f2630/AI ML Mini Projects/CBA_ROI/"/>
    </mc:Choice>
  </mc:AlternateContent>
  <xr:revisionPtr revIDLastSave="0" documentId="8_{D87BD9DA-215F-4FB8-AEA3-E46D7E83017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BA &amp; ROI Dashboard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1" l="1"/>
  <c r="B32" i="1"/>
  <c r="D25" i="1"/>
  <c r="E20" i="1"/>
  <c r="C19" i="1"/>
  <c r="C18" i="1"/>
  <c r="B17" i="1"/>
  <c r="D29" i="1" l="1"/>
  <c r="B34" i="1" s="1"/>
  <c r="B20" i="1"/>
  <c r="D20" i="1" s="1"/>
  <c r="D18" i="1"/>
  <c r="C17" i="1"/>
  <c r="C20" i="1" s="1"/>
  <c r="D19" i="1"/>
  <c r="B35" i="1" l="1"/>
  <c r="D17" i="1"/>
  <c r="E17" i="1" s="1"/>
  <c r="B37" i="1" l="1"/>
  <c r="B38" i="1"/>
  <c r="B36" i="1"/>
</calcChain>
</file>

<file path=xl/sharedStrings.xml><?xml version="1.0" encoding="utf-8"?>
<sst xmlns="http://schemas.openxmlformats.org/spreadsheetml/2006/main" count="69" uniqueCount="67">
  <si>
    <t>AI Workflow Implementation — Cost-Benefit Analysis &amp; ROI Report</t>
  </si>
  <si>
    <t>Gateway AI Advisory  ·  Client: Acme Operations Group  ·  Engagement: AI Email Triage &amp; Workflow Automation  ·  Prepared: Jun 2026</t>
  </si>
  <si>
    <t>SECTION 1 — KEY ASSUMPTIONS (Inputs shown in blue)</t>
  </si>
  <si>
    <t>Parameter</t>
  </si>
  <si>
    <t>Value</t>
  </si>
  <si>
    <t>Unit / Notes</t>
  </si>
  <si>
    <t>Staff handling email triage (FTEs)</t>
  </si>
  <si>
    <t>Full-time employees</t>
  </si>
  <si>
    <t>Avg. hourly fully-loaded cost (per FTE)</t>
  </si>
  <si>
    <t>USD/hr (salary + benefits)</t>
  </si>
  <si>
    <t>Hours/week spent on manual email triage (per FTE)</t>
  </si>
  <si>
    <t>hrs/wk — pre-automation baseline</t>
  </si>
  <si>
    <t>Weeks per year (working)</t>
  </si>
  <si>
    <t>wks/yr</t>
  </si>
  <si>
    <t>AI automation efficiency gain</t>
  </si>
  <si>
    <t>85%</t>
  </si>
  <si>
    <t>% of manual triage automated</t>
  </si>
  <si>
    <t>One-time implementation cost</t>
  </si>
  <si>
    <t>USD — setup, config, testing</t>
  </si>
  <si>
    <t>Monthly platform cost (Make.com + LLM API)</t>
  </si>
  <si>
    <t>USD/month</t>
  </si>
  <si>
    <t>Training &amp; change management (one-time)</t>
  </si>
  <si>
    <t>USD</t>
  </si>
  <si>
    <t>SECTION 2 — COST ANALYSIS</t>
  </si>
  <si>
    <t>Cost Item</t>
  </si>
  <si>
    <t>Pre-AI (Annual)</t>
  </si>
  <si>
    <t>Post-AI (Annual)</t>
  </si>
  <si>
    <t>Annual Savings</t>
  </si>
  <si>
    <t>% Reduction</t>
  </si>
  <si>
    <t>Manual Email Triage Labor</t>
  </si>
  <si>
    <t>Platform / Tool Costs</t>
  </si>
  <si>
    <t>Training &amp; Change Mgmt (amortized 3yr)</t>
  </si>
  <si>
    <t>Total Costs</t>
  </si>
  <si>
    <t>* Labor cost based on 4 FTEs × 7 hrs/wk × 48 wks × $65/hr fully-loaded rate; Post-AI reflects 85% automation efficiency gain.</t>
  </si>
  <si>
    <t>SECTION 3 — BENEFIT ANALYSIS</t>
  </si>
  <si>
    <t>Benefit Category</t>
  </si>
  <si>
    <t>Pre-AI Baseline</t>
  </si>
  <si>
    <t>Post-AI Outcome</t>
  </si>
  <si>
    <t>Annual Value ($)</t>
  </si>
  <si>
    <t>Confidence</t>
  </si>
  <si>
    <t>Labor Hours Recovered (triage)</t>
  </si>
  <si>
    <t>28 hrs/wk (4 FTEs × 7 hrs)</t>
  </si>
  <si>
    <t>238,000 hrs/wk automated</t>
  </si>
  <si>
    <t>High</t>
  </si>
  <si>
    <t>Faster Response Time</t>
  </si>
  <si>
    <t>4–6 hrs avg. response</t>
  </si>
  <si>
    <t>&lt; 5 min AI triage routing</t>
  </si>
  <si>
    <t>Routing Error Reduction</t>
  </si>
  <si>
    <t>~15% misrouted emails</t>
  </si>
  <si>
    <t>&lt; 2% misroute rate</t>
  </si>
  <si>
    <t>Medium</t>
  </si>
  <si>
    <t>Staff Redeployment Value</t>
  </si>
  <si>
    <t>4 FTEs on triage</t>
  </si>
  <si>
    <t>Total Quantified Benefits</t>
  </si>
  <si>
    <t>SECTION 4 — ROI SUMMARY</t>
  </si>
  <si>
    <t>Total One-Time Implementation Cost</t>
  </si>
  <si>
    <t>Total Annual Operating Cost (Post-AI)</t>
  </si>
  <si>
    <t>Total Annual Benefits (Quantified)</t>
  </si>
  <si>
    <t>Net Annual Benefit (Benefits − Operating Cost)</t>
  </si>
  <si>
    <t>Payback Period</t>
  </si>
  <si>
    <t>3-Year Net ROI</t>
  </si>
  <si>
    <t>3-Year Total Value Created</t>
  </si>
  <si>
    <t>SECTION 5 — METHODOLOGY NOTES &amp; DISCLAIMER</t>
  </si>
  <si>
    <t>• Labor savings calculated using fully-loaded hourly rate (salary + benefits). Automation efficiency of 85% applied conservatively — actual results may vary by volume and complexity.</t>
  </si>
  <si>
    <t>• Benefit values for error reduction and staff redeployment are estimates based on industry benchmarks and client-reported baseline metrics. Actual realized value depends on adoption rate and workflow complexity.</t>
  </si>
  <si>
    <t>• This model uses synthetic data for illustration purposes. All assumptions (blue cells) are adjustable — update Section 1 inputs to reflect actual client parameters.</t>
  </si>
  <si>
    <t>• Prepared by Gateway AI Advisory as part of standard post-implementation ROI reporting deliverable. Model version: v2.0 | Prepared: June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</si>
</sst>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0.0&quot; months&quot;"/>
  </numFmts>
  <fonts count="16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b/>
      <sz val="12"/>
      <color rgb="FFFFFFFF"/>
      <name val="Arial"/>
      <charset val="1"/>
    </font>
    <font>
      <sz val="12"/>
      <color rgb="FF000000"/>
      <name val="Arial"/>
      <charset val="1"/>
    </font>
    <font>
      <b/>
      <sz val="12"/>
      <color rgb="FF0000FF"/>
      <name val="Arial"/>
      <charset val="1"/>
    </font>
    <font>
      <i/>
      <sz val="11"/>
      <color rgb="FF595959"/>
      <name val="Arial"/>
      <charset val="1"/>
    </font>
    <font>
      <sz val="12"/>
      <color rgb="FF1E6B2E"/>
      <name val="Arial"/>
      <charset val="1"/>
    </font>
    <font>
      <i/>
      <sz val="10"/>
      <color rgb="FF595959"/>
      <name val="Arial"/>
      <charset val="1"/>
    </font>
    <font>
      <b/>
      <sz val="12"/>
      <color rgb="FF000000"/>
      <name val="Arial"/>
      <charset val="1"/>
    </font>
    <font>
      <b/>
      <sz val="12"/>
      <color rgb="FF1E6B2E"/>
      <name val="Arial"/>
      <charset val="1"/>
    </font>
    <font>
      <sz val="11"/>
      <color rgb="FF595959"/>
      <name val="Arial"/>
      <charset val="1"/>
    </font>
    <font>
      <sz val="11"/>
      <color rgb="FF1E6B2E"/>
      <name val="Arial"/>
      <charset val="1"/>
    </font>
    <font>
      <b/>
      <sz val="14"/>
      <color rgb="FFC55A11"/>
      <name val="Arial"/>
      <charset val="1"/>
    </font>
    <font>
      <b/>
      <sz val="14"/>
      <color rgb="FF1E6B2E"/>
      <name val="Arial"/>
      <charset val="1"/>
    </font>
    <font>
      <b/>
      <sz val="14"/>
      <color rgb="FF1F4E79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BF3FB"/>
      </patternFill>
    </fill>
    <fill>
      <patternFill patternType="solid">
        <fgColor rgb="FFEEF4FF"/>
        <bgColor rgb="FFEBF3FB"/>
      </patternFill>
    </fill>
    <fill>
      <patternFill patternType="solid">
        <fgColor rgb="FFFFFFFF"/>
        <bgColor rgb="FFEEF4FF"/>
      </patternFill>
    </fill>
    <fill>
      <patternFill patternType="solid">
        <fgColor rgb="FFEBF3FB"/>
        <bgColor rgb="FFEEF4FF"/>
      </patternFill>
    </fill>
    <fill>
      <patternFill patternType="solid">
        <fgColor rgb="FFD9E8F5"/>
        <bgColor rgb="FFE2EFDA"/>
      </patternFill>
    </fill>
    <fill>
      <patternFill patternType="solid">
        <fgColor rgb="FFE2EFDA"/>
        <bgColor rgb="FFD9E8F5"/>
      </patternFill>
    </fill>
    <fill>
      <patternFill patternType="solid">
        <fgColor rgb="FFFCE4D6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6" fillId="4" borderId="0" xfId="0" applyFont="1" applyFill="1" applyAlignment="1">
      <alignment horizontal="left" vertical="center" wrapText="1"/>
    </xf>
    <xf numFmtId="164" fontId="15" fillId="8" borderId="3" xfId="0" applyNumberFormat="1" applyFont="1" applyFill="1" applyBorder="1" applyAlignment="1">
      <alignment horizontal="center" vertical="center"/>
    </xf>
    <xf numFmtId="165" fontId="15" fillId="8" borderId="3" xfId="0" applyNumberFormat="1" applyFont="1" applyFill="1" applyBorder="1" applyAlignment="1">
      <alignment horizontal="center" vertical="center" wrapText="1"/>
    </xf>
    <xf numFmtId="166" fontId="15" fillId="8" borderId="3" xfId="0" applyNumberFormat="1" applyFont="1" applyFill="1" applyBorder="1" applyAlignment="1">
      <alignment horizontal="center" vertical="center" wrapText="1"/>
    </xf>
    <xf numFmtId="164" fontId="14" fillId="9" borderId="3" xfId="0" applyNumberFormat="1" applyFont="1" applyFill="1" applyBorder="1" applyAlignment="1">
      <alignment horizontal="center" vertical="center" wrapText="1"/>
    </xf>
    <xf numFmtId="164" fontId="13" fillId="10" borderId="3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0" fillId="0" borderId="0" xfId="0"/>
    <xf numFmtId="0" fontId="8" fillId="4" borderId="0" xfId="0" applyFont="1" applyFill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right" vertical="center" wrapText="1"/>
    </xf>
    <xf numFmtId="165" fontId="7" fillId="6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164" fontId="4" fillId="7" borderId="1" xfId="0" applyNumberFormat="1" applyFont="1" applyFill="1" applyBorder="1" applyAlignment="1">
      <alignment horizontal="right" vertical="center" wrapText="1"/>
    </xf>
    <xf numFmtId="165" fontId="7" fillId="7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164" fontId="9" fillId="8" borderId="1" xfId="0" applyNumberFormat="1" applyFont="1" applyFill="1" applyBorder="1" applyAlignment="1">
      <alignment horizontal="right" vertical="center" wrapText="1"/>
    </xf>
    <xf numFmtId="165" fontId="10" fillId="8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164" fontId="7" fillId="7" borderId="1" xfId="0" applyNumberFormat="1" applyFont="1" applyFill="1" applyBorder="1" applyAlignment="1">
      <alignment horizontal="righ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164" fontId="7" fillId="6" borderId="1" xfId="0" applyNumberFormat="1" applyFont="1" applyFill="1" applyBorder="1" applyAlignment="1">
      <alignment horizontal="righ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164" fontId="10" fillId="9" borderId="1" xfId="0" applyNumberFormat="1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2E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9E8F5"/>
      <rgbColor rgb="FF660066"/>
      <rgbColor rgb="FFFF8080"/>
      <rgbColor rgb="FF0066CC"/>
      <rgbColor rgb="FFEEF4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zoomScaleNormal="100" workbookViewId="0">
      <selection activeCell="I9" sqref="I9"/>
    </sheetView>
  </sheetViews>
  <sheetFormatPr defaultColWidth="8.7109375" defaultRowHeight="15" x14ac:dyDescent="0.25"/>
  <cols>
    <col min="1" max="1" width="54.5703125" customWidth="1"/>
    <col min="2" max="2" width="20" customWidth="1"/>
    <col min="3" max="3" width="22" customWidth="1"/>
    <col min="4" max="4" width="20" customWidth="1"/>
    <col min="5" max="6" width="16" customWidth="1"/>
  </cols>
  <sheetData>
    <row r="1" spans="1:6" ht="39.75" customHeight="1" x14ac:dyDescent="0.25">
      <c r="A1" s="14" t="s">
        <v>0</v>
      </c>
      <c r="B1" s="14"/>
      <c r="C1" s="14"/>
      <c r="D1" s="14"/>
      <c r="E1" s="14"/>
      <c r="F1" s="14"/>
    </row>
    <row r="2" spans="1:6" ht="21.75" customHeight="1" x14ac:dyDescent="0.25">
      <c r="A2" s="13" t="s">
        <v>1</v>
      </c>
      <c r="B2" s="13"/>
      <c r="C2" s="13"/>
      <c r="D2" s="13"/>
      <c r="E2" s="13"/>
      <c r="F2" s="13"/>
    </row>
    <row r="3" spans="1:6" ht="9.75" customHeight="1" x14ac:dyDescent="0.25"/>
    <row r="4" spans="1:6" ht="25.5" customHeight="1" x14ac:dyDescent="0.25">
      <c r="A4" s="12" t="s">
        <v>2</v>
      </c>
      <c r="B4" s="12"/>
      <c r="C4" s="12"/>
      <c r="D4" s="12"/>
      <c r="E4" s="12"/>
      <c r="F4" s="12"/>
    </row>
    <row r="5" spans="1:6" ht="25.5" customHeight="1" x14ac:dyDescent="0.25">
      <c r="A5" s="15" t="s">
        <v>3</v>
      </c>
      <c r="B5" s="15" t="s">
        <v>4</v>
      </c>
      <c r="C5" s="11" t="s">
        <v>5</v>
      </c>
      <c r="D5" s="11"/>
      <c r="E5" s="11"/>
      <c r="F5" s="11"/>
    </row>
    <row r="6" spans="1:6" ht="25.5" customHeight="1" x14ac:dyDescent="0.25">
      <c r="A6" s="16" t="s">
        <v>6</v>
      </c>
      <c r="B6" s="17">
        <v>4</v>
      </c>
      <c r="C6" s="10" t="s">
        <v>7</v>
      </c>
      <c r="D6" s="10"/>
      <c r="E6" s="10"/>
      <c r="F6" s="10"/>
    </row>
    <row r="7" spans="1:6" ht="25.5" customHeight="1" x14ac:dyDescent="0.25">
      <c r="A7" s="16" t="s">
        <v>8</v>
      </c>
      <c r="B7" s="17">
        <v>65</v>
      </c>
      <c r="C7" s="10" t="s">
        <v>9</v>
      </c>
      <c r="D7" s="10"/>
      <c r="E7" s="10"/>
      <c r="F7" s="10"/>
    </row>
    <row r="8" spans="1:6" ht="25.5" customHeight="1" x14ac:dyDescent="0.25">
      <c r="A8" s="16" t="s">
        <v>10</v>
      </c>
      <c r="B8" s="17">
        <v>7</v>
      </c>
      <c r="C8" s="10" t="s">
        <v>11</v>
      </c>
      <c r="D8" s="10"/>
      <c r="E8" s="10"/>
      <c r="F8" s="10"/>
    </row>
    <row r="9" spans="1:6" ht="25.5" customHeight="1" x14ac:dyDescent="0.25">
      <c r="A9" s="16" t="s">
        <v>12</v>
      </c>
      <c r="B9" s="17">
        <v>48</v>
      </c>
      <c r="C9" s="10" t="s">
        <v>13</v>
      </c>
      <c r="D9" s="10"/>
      <c r="E9" s="10"/>
      <c r="F9" s="10"/>
    </row>
    <row r="10" spans="1:6" ht="25.5" customHeight="1" x14ac:dyDescent="0.25">
      <c r="A10" s="16" t="s">
        <v>14</v>
      </c>
      <c r="B10" s="17" t="s">
        <v>15</v>
      </c>
      <c r="C10" s="10" t="s">
        <v>16</v>
      </c>
      <c r="D10" s="10"/>
      <c r="E10" s="10"/>
      <c r="F10" s="10"/>
    </row>
    <row r="11" spans="1:6" ht="25.5" customHeight="1" x14ac:dyDescent="0.25">
      <c r="A11" s="16" t="s">
        <v>17</v>
      </c>
      <c r="B11" s="17">
        <v>8500</v>
      </c>
      <c r="C11" s="10" t="s">
        <v>18</v>
      </c>
      <c r="D11" s="10"/>
      <c r="E11" s="10"/>
      <c r="F11" s="10"/>
    </row>
    <row r="12" spans="1:6" ht="25.5" customHeight="1" x14ac:dyDescent="0.25">
      <c r="A12" s="16" t="s">
        <v>19</v>
      </c>
      <c r="B12" s="17">
        <v>320</v>
      </c>
      <c r="C12" s="10" t="s">
        <v>20</v>
      </c>
      <c r="D12" s="10"/>
      <c r="E12" s="10"/>
      <c r="F12" s="10"/>
    </row>
    <row r="13" spans="1:6" ht="25.5" customHeight="1" x14ac:dyDescent="0.25">
      <c r="A13" s="16" t="s">
        <v>21</v>
      </c>
      <c r="B13" s="17">
        <v>1200</v>
      </c>
      <c r="C13" s="10" t="s">
        <v>22</v>
      </c>
      <c r="D13" s="10"/>
      <c r="E13" s="10"/>
      <c r="F13" s="10"/>
    </row>
    <row r="14" spans="1:6" ht="9.75" customHeight="1" x14ac:dyDescent="0.25"/>
    <row r="15" spans="1:6" ht="25.5" customHeight="1" x14ac:dyDescent="0.25">
      <c r="A15" s="12" t="s">
        <v>23</v>
      </c>
      <c r="B15" s="12"/>
      <c r="C15" s="12"/>
      <c r="D15" s="12"/>
      <c r="E15" s="12"/>
      <c r="F15" s="12"/>
    </row>
    <row r="16" spans="1:6" ht="25.5" customHeight="1" x14ac:dyDescent="0.25">
      <c r="A16" s="15" t="s">
        <v>24</v>
      </c>
      <c r="B16" s="15" t="s">
        <v>25</v>
      </c>
      <c r="C16" s="15" t="s">
        <v>26</v>
      </c>
      <c r="D16" s="15" t="s">
        <v>27</v>
      </c>
      <c r="E16" s="15" t="s">
        <v>28</v>
      </c>
    </row>
    <row r="17" spans="1:6" ht="25.5" customHeight="1" x14ac:dyDescent="0.25">
      <c r="A17" s="18" t="s">
        <v>29</v>
      </c>
      <c r="B17" s="19">
        <f>B6*B8*B9*B7</f>
        <v>87360</v>
      </c>
      <c r="C17" s="19">
        <f>B17*(1-B10)</f>
        <v>13104.000000000002</v>
      </c>
      <c r="D17" s="19">
        <f>B17-C17</f>
        <v>74256</v>
      </c>
      <c r="E17" s="20">
        <f>IF(B17=0,0,-D17/B17)</f>
        <v>-0.85</v>
      </c>
      <c r="F17" s="21"/>
    </row>
    <row r="18" spans="1:6" ht="25.5" customHeight="1" x14ac:dyDescent="0.25">
      <c r="A18" s="22" t="s">
        <v>30</v>
      </c>
      <c r="B18" s="23">
        <v>0</v>
      </c>
      <c r="C18" s="23">
        <f>B12*12</f>
        <v>3840</v>
      </c>
      <c r="D18" s="23">
        <f>-C19</f>
        <v>0</v>
      </c>
      <c r="E18" s="24"/>
    </row>
    <row r="19" spans="1:6" ht="25.5" customHeight="1" x14ac:dyDescent="0.25">
      <c r="A19" s="18" t="s">
        <v>31</v>
      </c>
      <c r="B19" s="19">
        <v>0</v>
      </c>
      <c r="C19" s="19">
        <f>B14/3</f>
        <v>0</v>
      </c>
      <c r="D19" s="19">
        <f>-C19</f>
        <v>0</v>
      </c>
      <c r="E19" s="20"/>
    </row>
    <row r="20" spans="1:6" ht="25.5" customHeight="1" x14ac:dyDescent="0.25">
      <c r="A20" s="25" t="s">
        <v>32</v>
      </c>
      <c r="B20" s="26">
        <f>B17+B18+B19</f>
        <v>87360</v>
      </c>
      <c r="C20" s="26">
        <f>C17+C18+C19</f>
        <v>16944</v>
      </c>
      <c r="D20" s="26">
        <f>B20-C20</f>
        <v>70416</v>
      </c>
      <c r="E20" s="27" t="str">
        <f>IF(B21=0,"-",-D21/B21)</f>
        <v>-</v>
      </c>
    </row>
    <row r="21" spans="1:6" ht="27.75" customHeight="1" x14ac:dyDescent="0.25">
      <c r="A21" s="9" t="s">
        <v>33</v>
      </c>
      <c r="B21" s="9"/>
      <c r="C21" s="9"/>
      <c r="D21" s="9"/>
      <c r="E21" s="9"/>
      <c r="F21" s="9"/>
    </row>
    <row r="22" spans="1:6" ht="25.5" customHeight="1" x14ac:dyDescent="0.25">
      <c r="A22" s="8"/>
      <c r="B22" s="8"/>
      <c r="C22" s="8"/>
      <c r="D22" s="8"/>
      <c r="E22" s="8"/>
      <c r="F22" s="8"/>
    </row>
    <row r="23" spans="1:6" ht="25.5" customHeight="1" x14ac:dyDescent="0.25">
      <c r="A23" s="12" t="s">
        <v>34</v>
      </c>
      <c r="B23" s="12"/>
      <c r="C23" s="12"/>
      <c r="D23" s="12"/>
      <c r="E23" s="12"/>
      <c r="F23" s="12"/>
    </row>
    <row r="24" spans="1:6" ht="30" customHeight="1" x14ac:dyDescent="0.25">
      <c r="A24" s="15" t="s">
        <v>35</v>
      </c>
      <c r="B24" s="15" t="s">
        <v>36</v>
      </c>
      <c r="C24" s="15" t="s">
        <v>37</v>
      </c>
      <c r="D24" s="15" t="s">
        <v>38</v>
      </c>
      <c r="E24" s="15" t="s">
        <v>39</v>
      </c>
    </row>
    <row r="25" spans="1:6" ht="30" customHeight="1" x14ac:dyDescent="0.25">
      <c r="A25" s="22" t="s">
        <v>40</v>
      </c>
      <c r="B25" s="28" t="s">
        <v>41</v>
      </c>
      <c r="C25" s="29" t="s">
        <v>42</v>
      </c>
      <c r="D25" s="30">
        <f>B6*B8*B9*B10*B7</f>
        <v>74255.999999999985</v>
      </c>
      <c r="E25" s="31" t="s">
        <v>43</v>
      </c>
    </row>
    <row r="26" spans="1:6" ht="30" customHeight="1" x14ac:dyDescent="0.25">
      <c r="A26" s="18" t="s">
        <v>44</v>
      </c>
      <c r="B26" s="32" t="s">
        <v>45</v>
      </c>
      <c r="C26" s="33" t="s">
        <v>46</v>
      </c>
      <c r="D26" s="34">
        <v>18200</v>
      </c>
      <c r="E26" s="31" t="s">
        <v>43</v>
      </c>
    </row>
    <row r="27" spans="1:6" ht="30" customHeight="1" x14ac:dyDescent="0.25">
      <c r="A27" s="22" t="s">
        <v>47</v>
      </c>
      <c r="B27" s="28" t="s">
        <v>48</v>
      </c>
      <c r="C27" s="29" t="s">
        <v>49</v>
      </c>
      <c r="D27" s="30">
        <v>9600</v>
      </c>
      <c r="E27" s="35" t="s">
        <v>50</v>
      </c>
    </row>
    <row r="28" spans="1:6" ht="30" customHeight="1" x14ac:dyDescent="0.25">
      <c r="A28" s="18" t="s">
        <v>51</v>
      </c>
      <c r="B28" s="7" t="s">
        <v>52</v>
      </c>
      <c r="C28" s="7"/>
      <c r="D28" s="34">
        <v>24000</v>
      </c>
      <c r="E28" s="35" t="s">
        <v>50</v>
      </c>
    </row>
    <row r="29" spans="1:6" ht="30" customHeight="1" x14ac:dyDescent="0.25">
      <c r="A29" s="36" t="s">
        <v>53</v>
      </c>
      <c r="B29" s="37"/>
      <c r="C29" s="38"/>
      <c r="D29" s="39">
        <f>SUM(D25:D28)</f>
        <v>126055.99999999999</v>
      </c>
      <c r="E29" s="31"/>
      <c r="F29" s="38"/>
    </row>
    <row r="30" spans="1:6" ht="25.5" customHeight="1" x14ac:dyDescent="0.25">
      <c r="A30" s="8"/>
      <c r="B30" s="8"/>
      <c r="C30" s="8"/>
      <c r="D30" s="8"/>
      <c r="E30" s="8"/>
      <c r="F30" s="8"/>
    </row>
    <row r="31" spans="1:6" ht="25.5" customHeight="1" x14ac:dyDescent="0.25">
      <c r="A31" s="12" t="s">
        <v>54</v>
      </c>
      <c r="B31" s="12"/>
      <c r="C31" s="12"/>
      <c r="D31" s="12"/>
      <c r="E31" s="12"/>
      <c r="F31" s="12"/>
    </row>
    <row r="32" spans="1:6" ht="30" customHeight="1" x14ac:dyDescent="0.25">
      <c r="A32" s="40" t="s">
        <v>55</v>
      </c>
      <c r="B32" s="6">
        <f>B11+B13</f>
        <v>9700</v>
      </c>
      <c r="C32" s="6"/>
      <c r="D32" s="6"/>
      <c r="E32" s="6"/>
      <c r="F32" s="6"/>
    </row>
    <row r="33" spans="1:6" ht="30" customHeight="1" x14ac:dyDescent="0.25">
      <c r="A33" s="40" t="s">
        <v>56</v>
      </c>
      <c r="B33" s="6">
        <f>B12*12</f>
        <v>3840</v>
      </c>
      <c r="C33" s="6"/>
      <c r="D33" s="6"/>
      <c r="E33" s="6"/>
      <c r="F33" s="6"/>
    </row>
    <row r="34" spans="1:6" ht="30" customHeight="1" x14ac:dyDescent="0.25">
      <c r="A34" s="40" t="s">
        <v>57</v>
      </c>
      <c r="B34" s="5">
        <f>D29</f>
        <v>126055.99999999999</v>
      </c>
      <c r="C34" s="5"/>
      <c r="D34" s="5"/>
      <c r="E34" s="5"/>
      <c r="F34" s="5"/>
    </row>
    <row r="35" spans="1:6" ht="30" customHeight="1" x14ac:dyDescent="0.25">
      <c r="A35" s="40" t="s">
        <v>58</v>
      </c>
      <c r="B35" s="5">
        <f>B34-B33</f>
        <v>122215.99999999999</v>
      </c>
      <c r="C35" s="5"/>
      <c r="D35" s="5"/>
      <c r="E35" s="5"/>
      <c r="F35" s="5"/>
    </row>
    <row r="36" spans="1:6" ht="30" customHeight="1" x14ac:dyDescent="0.25">
      <c r="A36" s="40" t="s">
        <v>59</v>
      </c>
      <c r="B36" s="4">
        <f>IF(B34=0,"N/A",B32/B35*12)</f>
        <v>0.95241212279897902</v>
      </c>
      <c r="C36" s="4"/>
      <c r="D36" s="4"/>
      <c r="E36" s="4"/>
      <c r="F36" s="4"/>
    </row>
    <row r="37" spans="1:6" ht="30" customHeight="1" x14ac:dyDescent="0.25">
      <c r="A37" s="40" t="s">
        <v>60</v>
      </c>
      <c r="B37" s="3">
        <f>IF(B32=0,"N/A",(B35*3-B32)/B32)</f>
        <v>36.798762886597935</v>
      </c>
      <c r="C37" s="3"/>
      <c r="D37" s="3"/>
      <c r="E37" s="3"/>
      <c r="F37" s="3"/>
    </row>
    <row r="38" spans="1:6" ht="30" customHeight="1" x14ac:dyDescent="0.25">
      <c r="A38" s="41" t="s">
        <v>61</v>
      </c>
      <c r="B38" s="2">
        <f>B35*3-B32</f>
        <v>356947.99999999994</v>
      </c>
      <c r="C38" s="2"/>
      <c r="D38" s="2"/>
      <c r="E38" s="2"/>
      <c r="F38" s="2"/>
    </row>
    <row r="39" spans="1:6" ht="25.5" customHeight="1" x14ac:dyDescent="0.25">
      <c r="A39" s="8"/>
      <c r="B39" s="8"/>
      <c r="C39" s="8"/>
      <c r="D39" s="8"/>
      <c r="E39" s="8"/>
      <c r="F39" s="8"/>
    </row>
    <row r="40" spans="1:6" ht="31.5" customHeight="1" x14ac:dyDescent="0.25">
      <c r="A40" s="12" t="s">
        <v>62</v>
      </c>
      <c r="B40" s="12"/>
      <c r="C40" s="12"/>
      <c r="D40" s="12"/>
      <c r="E40" s="12"/>
      <c r="F40" s="12"/>
    </row>
    <row r="41" spans="1:6" ht="31.5" customHeight="1" x14ac:dyDescent="0.25">
      <c r="A41" s="1" t="s">
        <v>63</v>
      </c>
      <c r="B41" s="1"/>
      <c r="C41" s="1"/>
      <c r="D41" s="1"/>
      <c r="E41" s="1"/>
      <c r="F41" s="1"/>
    </row>
    <row r="42" spans="1:6" ht="31.5" customHeight="1" x14ac:dyDescent="0.25">
      <c r="A42" s="1" t="s">
        <v>64</v>
      </c>
      <c r="B42" s="1"/>
      <c r="C42" s="1"/>
      <c r="D42" s="1"/>
      <c r="E42" s="1"/>
      <c r="F42" s="1"/>
    </row>
    <row r="43" spans="1:6" ht="31.5" customHeight="1" x14ac:dyDescent="0.25">
      <c r="A43" s="1" t="s">
        <v>65</v>
      </c>
      <c r="B43" s="1"/>
      <c r="C43" s="1"/>
      <c r="D43" s="1"/>
      <c r="E43" s="1"/>
      <c r="F43" s="1"/>
    </row>
    <row r="44" spans="1:6" ht="51.75" customHeight="1" x14ac:dyDescent="0.25">
      <c r="A44" s="42" t="s">
        <v>66</v>
      </c>
    </row>
  </sheetData>
  <mergeCells count="31">
    <mergeCell ref="A43:F43"/>
    <mergeCell ref="B38:F38"/>
    <mergeCell ref="A39:F39"/>
    <mergeCell ref="A40:F40"/>
    <mergeCell ref="A41:F41"/>
    <mergeCell ref="A42:F42"/>
    <mergeCell ref="B33:F33"/>
    <mergeCell ref="B34:F34"/>
    <mergeCell ref="B35:F35"/>
    <mergeCell ref="B36:F36"/>
    <mergeCell ref="B37:F37"/>
    <mergeCell ref="A23:F23"/>
    <mergeCell ref="B28:C28"/>
    <mergeCell ref="A30:F30"/>
    <mergeCell ref="A31:F31"/>
    <mergeCell ref="B32:F32"/>
    <mergeCell ref="C12:F12"/>
    <mergeCell ref="C13:F13"/>
    <mergeCell ref="A15:F15"/>
    <mergeCell ref="A21:F21"/>
    <mergeCell ref="A22:F22"/>
    <mergeCell ref="C7:F7"/>
    <mergeCell ref="C8:F8"/>
    <mergeCell ref="C9:F9"/>
    <mergeCell ref="C10:F10"/>
    <mergeCell ref="C11:F11"/>
    <mergeCell ref="A1:F1"/>
    <mergeCell ref="A2:F2"/>
    <mergeCell ref="A4:F4"/>
    <mergeCell ref="C5:F5"/>
    <mergeCell ref="C6:F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CBA &amp; ROI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Robert Son</cp:lastModifiedBy>
  <cp:revision>0</cp:revision>
  <dcterms:created xsi:type="dcterms:W3CDTF">2026-06-27T12:46:52Z</dcterms:created>
  <dcterms:modified xsi:type="dcterms:W3CDTF">2026-06-27T13:48:20Z</dcterms:modified>
  <dc:language>en-US</dc:language>
</cp:coreProperties>
</file>